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f9fa3a01670801/Documents/GitHub/Python_Maps/"/>
    </mc:Choice>
  </mc:AlternateContent>
  <xr:revisionPtr revIDLastSave="8" documentId="8_{85DFC8B9-DF41-45C6-9DB7-4EC1DD367EC5}" xr6:coauthVersionLast="47" xr6:coauthVersionMax="47" xr10:uidLastSave="{51A2002C-CE50-496B-B0EA-5E002D62047E}"/>
  <bookViews>
    <workbookView minimized="1" xWindow="16695" yWindow="2595" windowWidth="18330" windowHeight="11370" activeTab="2" xr2:uid="{ABD751BA-5ACE-4369-BF7B-8031843F00E0}"/>
  </bookViews>
  <sheets>
    <sheet name="Demo Audiences" sheetId="1" r:id="rId1"/>
    <sheet name="OOH Sites" sheetId="2" r:id="rId2"/>
    <sheet name="OOH Networks" sheetId="3" r:id="rId3"/>
    <sheet name="AV" sheetId="4" r:id="rId4"/>
    <sheet name="Store Loc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F14" i="1"/>
  <c r="C14" i="1"/>
  <c r="D14" i="1"/>
  <c r="E14" i="1"/>
  <c r="G14" i="1"/>
  <c r="H14" i="1"/>
  <c r="J14" i="1"/>
  <c r="K14" i="1"/>
  <c r="L14" i="1"/>
  <c r="M14" i="1"/>
  <c r="N14" i="1"/>
  <c r="B14" i="1"/>
  <c r="C2" i="4"/>
  <c r="D7" i="4"/>
  <c r="D9" i="4"/>
  <c r="D8" i="4"/>
  <c r="D6" i="4"/>
  <c r="D5" i="4"/>
  <c r="D3" i="4"/>
  <c r="D4" i="4"/>
  <c r="D2" i="4"/>
  <c r="C5" i="4"/>
  <c r="C4" i="4"/>
  <c r="C3" i="4"/>
  <c r="N3" i="1"/>
  <c r="N4" i="1"/>
  <c r="N5" i="1"/>
  <c r="N6" i="1"/>
  <c r="N7" i="1"/>
  <c r="N8" i="1"/>
  <c r="N9" i="1"/>
  <c r="N10" i="1"/>
  <c r="N11" i="1"/>
  <c r="N12" i="1"/>
  <c r="N13" i="1"/>
  <c r="N2" i="1"/>
  <c r="I3" i="1"/>
  <c r="I4" i="1"/>
  <c r="I5" i="1"/>
  <c r="I6" i="1"/>
  <c r="I7" i="1"/>
  <c r="I8" i="1"/>
  <c r="I9" i="1"/>
  <c r="I10" i="1"/>
  <c r="I11" i="1"/>
  <c r="I12" i="1"/>
  <c r="I13" i="1"/>
  <c r="I2" i="1"/>
  <c r="H13" i="1"/>
  <c r="H12" i="1"/>
  <c r="H11" i="1"/>
  <c r="H10" i="1"/>
  <c r="H9" i="1"/>
  <c r="H8" i="1"/>
  <c r="H7" i="1"/>
  <c r="H6" i="1"/>
  <c r="H5" i="1"/>
  <c r="H4" i="1"/>
  <c r="H3" i="1"/>
  <c r="H2" i="1"/>
  <c r="F6" i="1"/>
  <c r="F3" i="1"/>
  <c r="F4" i="1"/>
  <c r="F5" i="1"/>
  <c r="F7" i="1"/>
  <c r="F8" i="1"/>
  <c r="F9" i="1"/>
  <c r="F10" i="1"/>
  <c r="F11" i="1"/>
  <c r="F12" i="1"/>
  <c r="F13" i="1"/>
  <c r="F2" i="1"/>
  <c r="E5" i="1"/>
  <c r="E3" i="1"/>
  <c r="E2" i="1"/>
  <c r="E13" i="1"/>
  <c r="E12" i="1"/>
  <c r="E11" i="1"/>
  <c r="E10" i="1"/>
  <c r="E9" i="1"/>
  <c r="E8" i="1"/>
  <c r="E7" i="1"/>
  <c r="E6" i="1"/>
  <c r="E4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<sst xmlns="http://schemas.openxmlformats.org/spreadsheetml/2006/main" count="315" uniqueCount="170">
  <si>
    <t>Region</t>
  </si>
  <si>
    <t>Location</t>
  </si>
  <si>
    <t>Format</t>
  </si>
  <si>
    <t>Cannon Street Station</t>
  </si>
  <si>
    <t>Train Network</t>
  </si>
  <si>
    <t># of Panels</t>
  </si>
  <si>
    <t>Channel</t>
  </si>
  <si>
    <t>South East</t>
  </si>
  <si>
    <t>TV</t>
  </si>
  <si>
    <t>VOD</t>
  </si>
  <si>
    <t>Total Impressions</t>
  </si>
  <si>
    <t>Postcode</t>
  </si>
  <si>
    <t>Frasers</t>
  </si>
  <si>
    <t>Total Population</t>
  </si>
  <si>
    <t>Core Audience</t>
  </si>
  <si>
    <t>Core Index</t>
  </si>
  <si>
    <t>Acquisition Audience</t>
  </si>
  <si>
    <t>Acquistion Index</t>
  </si>
  <si>
    <t>Closed HoF</t>
  </si>
  <si>
    <t>Next</t>
  </si>
  <si>
    <t>John Lewis</t>
  </si>
  <si>
    <t>Combined</t>
  </si>
  <si>
    <t>Inner London</t>
  </si>
  <si>
    <t>East of England</t>
  </si>
  <si>
    <t>Outer London</t>
  </si>
  <si>
    <t>North West</t>
  </si>
  <si>
    <t>Scotland</t>
  </si>
  <si>
    <t>Yorkshire and the Humber</t>
  </si>
  <si>
    <t>East Midlands</t>
  </si>
  <si>
    <t>West Midlands</t>
  </si>
  <si>
    <t>North East</t>
  </si>
  <si>
    <t>South West</t>
  </si>
  <si>
    <t>Wales</t>
  </si>
  <si>
    <t>%</t>
  </si>
  <si>
    <t>London</t>
  </si>
  <si>
    <t xml:space="preserve">Anglia </t>
  </si>
  <si>
    <t>Barking Station</t>
  </si>
  <si>
    <t>Camden Sattion</t>
  </si>
  <si>
    <t>Kings Cross Station</t>
  </si>
  <si>
    <t>Kings Cross St Pancras Station</t>
  </si>
  <si>
    <t>Lverpool Street Station</t>
  </si>
  <si>
    <t>Fenchurch Street Station</t>
  </si>
  <si>
    <t>London Bridge Station</t>
  </si>
  <si>
    <t>Waterloo Station</t>
  </si>
  <si>
    <t>Charing Cross Station</t>
  </si>
  <si>
    <t>Blackfriars Station</t>
  </si>
  <si>
    <t>Reading Station</t>
  </si>
  <si>
    <t>Victoria Station</t>
  </si>
  <si>
    <t>Motion Waterloo</t>
  </si>
  <si>
    <t>Transvision Screen</t>
  </si>
  <si>
    <t>Rail Digital 6 Sheet</t>
  </si>
  <si>
    <t>Spend (CTC)</t>
  </si>
  <si>
    <t>Bedford Station</t>
  </si>
  <si>
    <t>Cambridge</t>
  </si>
  <si>
    <t>Cambridge Station</t>
  </si>
  <si>
    <t>Chelmsford Station</t>
  </si>
  <si>
    <t>Colchester Station</t>
  </si>
  <si>
    <t>Ely Station</t>
  </si>
  <si>
    <t>Hitchin Station</t>
  </si>
  <si>
    <t>Ipswich Station</t>
  </si>
  <si>
    <t>Milton Keynes Central Station</t>
  </si>
  <si>
    <t>Northampton Station</t>
  </si>
  <si>
    <t>Birkenhead Hamilton Square Station</t>
  </si>
  <si>
    <t>Blackburn Station</t>
  </si>
  <si>
    <t>Crewe Station</t>
  </si>
  <si>
    <t>Liverpool Lime Street Station</t>
  </si>
  <si>
    <t>Manchhester Victoria Station</t>
  </si>
  <si>
    <t>Manchester Picadilly Station</t>
  </si>
  <si>
    <t>Liverpool Central Station</t>
  </si>
  <si>
    <t>Liverpool Moorfields Station</t>
  </si>
  <si>
    <t>Manchester Piccadilly Station</t>
  </si>
  <si>
    <t>Manchester Victoria Station</t>
  </si>
  <si>
    <t>Preston Station</t>
  </si>
  <si>
    <t>Southport Station</t>
  </si>
  <si>
    <t>St Helens Central Station</t>
  </si>
  <si>
    <t>Stalybridge Station</t>
  </si>
  <si>
    <t>Stockport Station</t>
  </si>
  <si>
    <t>Wigan Wallgate Station</t>
  </si>
  <si>
    <t>No</t>
  </si>
  <si>
    <t>Name</t>
  </si>
  <si>
    <t>Closing Year</t>
  </si>
  <si>
    <t>Open</t>
  </si>
  <si>
    <t>HP20 2SP</t>
  </si>
  <si>
    <t>BT1 4QG</t>
  </si>
  <si>
    <t>B2 5JS</t>
  </si>
  <si>
    <t>CR0 1TY</t>
  </si>
  <si>
    <t>G1 3HL</t>
  </si>
  <si>
    <t>NN10 6FG</t>
  </si>
  <si>
    <t>G83 8QL</t>
  </si>
  <si>
    <t>M3 2QG</t>
  </si>
  <si>
    <t>NR2 1SH</t>
  </si>
  <si>
    <t>B72 1PB</t>
  </si>
  <si>
    <t>TF3 4BS</t>
  </si>
  <si>
    <t>WV1 3NN</t>
  </si>
  <si>
    <t>BT48 6AP</t>
  </si>
  <si>
    <t>T12 X7HK</t>
  </si>
  <si>
    <t>W12 H660</t>
  </si>
  <si>
    <t>ME14 1QP</t>
  </si>
  <si>
    <t>DE1 2PL</t>
  </si>
  <si>
    <t>DD1 1UQ</t>
  </si>
  <si>
    <t>PE1 1QA</t>
  </si>
  <si>
    <t>S9 1EL</t>
  </si>
  <si>
    <t>FY1 4HU</t>
  </si>
  <si>
    <t>Norwich</t>
  </si>
  <si>
    <t>Reading</t>
  </si>
  <si>
    <t>Carlisle</t>
  </si>
  <si>
    <t>Bristol</t>
  </si>
  <si>
    <t>Bath</t>
  </si>
  <si>
    <t>Lincoln</t>
  </si>
  <si>
    <t>Worcester</t>
  </si>
  <si>
    <t>Bluewater</t>
  </si>
  <si>
    <t>Doncaster</t>
  </si>
  <si>
    <t>Nottingham</t>
  </si>
  <si>
    <t>Braintree</t>
  </si>
  <si>
    <t>Ipswich</t>
  </si>
  <si>
    <t>Northampton</t>
  </si>
  <si>
    <t>Peterborough</t>
  </si>
  <si>
    <t>Blackpool</t>
  </si>
  <si>
    <t>Bolton</t>
  </si>
  <si>
    <t>Liverpool</t>
  </si>
  <si>
    <t>Macclesfield</t>
  </si>
  <si>
    <t>Manchester</t>
  </si>
  <si>
    <t>Newton-le-Willows</t>
  </si>
  <si>
    <t>St Helens</t>
  </si>
  <si>
    <t>Warrington</t>
  </si>
  <si>
    <t>Road Digital 6 Sheet</t>
  </si>
  <si>
    <t xml:space="preserve">Southwest Suburban Rail </t>
  </si>
  <si>
    <t>Store Type</t>
  </si>
  <si>
    <t>HP11 2DQ</t>
  </si>
  <si>
    <t>CF10 1TT</t>
  </si>
  <si>
    <t>GU15 3GP</t>
  </si>
  <si>
    <t>B91 3AT</t>
  </si>
  <si>
    <t>GU1 3GH</t>
  </si>
  <si>
    <t>RG1 2AG</t>
  </si>
  <si>
    <t>CA3 8HU</t>
  </si>
  <si>
    <t>BS1 3BD</t>
  </si>
  <si>
    <t>BA1 1DD</t>
  </si>
  <si>
    <t>LN5 7EA</t>
  </si>
  <si>
    <t>WR1 3LD</t>
  </si>
  <si>
    <t>DA9 9SW</t>
  </si>
  <si>
    <t>GL50 1HP</t>
  </si>
  <si>
    <t>DN1 1NR</t>
  </si>
  <si>
    <t>RM20 2ZP</t>
  </si>
  <si>
    <t>NG1 3HF</t>
  </si>
  <si>
    <t>Closed</t>
  </si>
  <si>
    <t>House of Frasers</t>
  </si>
  <si>
    <t>Aylesbury</t>
  </si>
  <si>
    <t>Belfast</t>
  </si>
  <si>
    <t>Birmingham</t>
  </si>
  <si>
    <t>Croydon</t>
  </si>
  <si>
    <t>Glasgow</t>
  </si>
  <si>
    <t>Telford</t>
  </si>
  <si>
    <t>Wolverhampton</t>
  </si>
  <si>
    <t>Derry</t>
  </si>
  <si>
    <t>Newbridge</t>
  </si>
  <si>
    <t>Maidstone</t>
  </si>
  <si>
    <t>Derby</t>
  </si>
  <si>
    <t>Dundee</t>
  </si>
  <si>
    <t>Meadowhall</t>
  </si>
  <si>
    <t>High</t>
  </si>
  <si>
    <t>Cardiff</t>
  </si>
  <si>
    <t>Camberley</t>
  </si>
  <si>
    <t>Solihull</t>
  </si>
  <si>
    <t>Guildford</t>
  </si>
  <si>
    <t>Cheltenham</t>
  </si>
  <si>
    <t>Lakeside</t>
  </si>
  <si>
    <t>Rushden Lakes</t>
  </si>
  <si>
    <t>Loch Lomond</t>
  </si>
  <si>
    <t>Sutton Coldfield</t>
  </si>
  <si>
    <t>Cork Mahon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</si>
</sst>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Lato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0E0E3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0" borderId="0"/>
    <xf numFmtId="0" fontId="4" fillId="4" borderId="0" applyNumberFormat="0" applyBorder="0" applyAlignment="0" applyProtection="0"/>
  </cellStyleXfs>
  <cellXfs count="38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164" fontId="8" fillId="0" borderId="0" xfId="1" applyNumberFormat="1" applyFont="1"/>
    <xf numFmtId="9" fontId="8" fillId="0" borderId="0" xfId="2" applyFont="1"/>
    <xf numFmtId="2" fontId="8" fillId="0" borderId="0" xfId="0" applyNumberFormat="1" applyFont="1"/>
    <xf numFmtId="0" fontId="0" fillId="0" borderId="1" xfId="0" applyBorder="1"/>
    <xf numFmtId="3" fontId="9" fillId="0" borderId="1" xfId="0" applyNumberFormat="1" applyFont="1" applyBorder="1" applyAlignment="1">
      <alignment horizontal="right" wrapText="1"/>
    </xf>
    <xf numFmtId="8" fontId="9" fillId="0" borderId="1" xfId="0" applyNumberFormat="1" applyFont="1" applyBorder="1" applyAlignment="1">
      <alignment vertical="center" wrapText="1"/>
    </xf>
    <xf numFmtId="8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164" fontId="0" fillId="0" borderId="1" xfId="1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3" xfId="0" applyBorder="1"/>
    <xf numFmtId="0" fontId="8" fillId="0" borderId="1" xfId="6" applyFont="1" applyBorder="1" applyAlignment="1">
      <alignment horizontal="center"/>
    </xf>
    <xf numFmtId="0" fontId="13" fillId="0" borderId="1" xfId="7" applyFont="1" applyFill="1" applyBorder="1" applyAlignment="1">
      <alignment horizontal="center" vertical="center"/>
    </xf>
    <xf numFmtId="0" fontId="13" fillId="0" borderId="1" xfId="4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0" fontId="14" fillId="0" borderId="0" xfId="0" applyFont="1"/>
    <xf numFmtId="0" fontId="13" fillId="0" borderId="1" xfId="5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5" fillId="0" borderId="0" xfId="0" applyFont="1"/>
    <xf numFmtId="0" fontId="5" fillId="0" borderId="3" xfId="0" applyFont="1" applyBorder="1"/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6" borderId="0" xfId="0" applyFont="1" applyFill="1"/>
    <xf numFmtId="164" fontId="8" fillId="6" borderId="0" xfId="0" applyNumberFormat="1" applyFont="1" applyFill="1"/>
    <xf numFmtId="9" fontId="8" fillId="6" borderId="0" xfId="2" applyFont="1" applyFill="1"/>
    <xf numFmtId="2" fontId="8" fillId="6" borderId="0" xfId="0" applyNumberFormat="1" applyFont="1" applyFill="1"/>
  </cellXfs>
  <cellStyles count="8">
    <cellStyle name="Bad" xfId="4" builtinId="27"/>
    <cellStyle name="Comma" xfId="1" builtinId="3"/>
    <cellStyle name="Good" xfId="3" builtinId="26"/>
    <cellStyle name="Neutral" xfId="5" builtinId="28"/>
    <cellStyle name="Neutral 2" xfId="7" xr:uid="{2EF0D941-2E79-4E41-8513-630521870DB6}"/>
    <cellStyle name="Normal" xfId="0" builtinId="0"/>
    <cellStyle name="Normal 5" xfId="6" xr:uid="{606638D7-9596-4B10-B49F-C50614A5572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0DA-D424-474C-889B-616F100C07F2}">
  <dimension ref="A1:N16"/>
  <sheetViews>
    <sheetView topLeftCell="F1" zoomScale="145" zoomScaleNormal="145" workbookViewId="0">
      <selection activeCell="H37" sqref="H37"/>
    </sheetView>
  </sheetViews>
  <sheetFormatPr defaultRowHeight="15" x14ac:dyDescent="0.25"/>
  <cols>
    <col min="1" max="1" width="25.7109375" bestFit="1" customWidth="1"/>
    <col min="2" max="2" width="17.85546875" bestFit="1" customWidth="1"/>
    <col min="3" max="3" width="5.140625" bestFit="1" customWidth="1"/>
    <col min="4" max="4" width="16.140625" bestFit="1" customWidth="1"/>
    <col min="5" max="5" width="5.140625" bestFit="1" customWidth="1"/>
    <col min="6" max="6" width="12.140625" bestFit="1" customWidth="1"/>
    <col min="7" max="7" width="22.5703125" bestFit="1" customWidth="1"/>
    <col min="8" max="8" width="5.140625" bestFit="1" customWidth="1"/>
    <col min="9" max="9" width="18" bestFit="1" customWidth="1"/>
    <col min="10" max="10" width="8.7109375" bestFit="1" customWidth="1"/>
    <col min="11" max="11" width="12.85546875" bestFit="1" customWidth="1"/>
    <col min="12" max="12" width="5.7109375" bestFit="1" customWidth="1"/>
    <col min="13" max="13" width="12.42578125" bestFit="1" customWidth="1"/>
    <col min="14" max="14" width="11.28515625" bestFit="1" customWidth="1"/>
  </cols>
  <sheetData>
    <row r="1" spans="1:14" x14ac:dyDescent="0.25">
      <c r="A1" s="2" t="s">
        <v>0</v>
      </c>
      <c r="B1" s="2" t="s">
        <v>13</v>
      </c>
      <c r="C1" s="2" t="s">
        <v>33</v>
      </c>
      <c r="D1" s="2" t="s">
        <v>14</v>
      </c>
      <c r="E1" s="2" t="s">
        <v>33</v>
      </c>
      <c r="F1" s="2" t="s">
        <v>15</v>
      </c>
      <c r="G1" s="2" t="s">
        <v>16</v>
      </c>
      <c r="H1" s="2" t="s">
        <v>33</v>
      </c>
      <c r="I1" s="2" t="s">
        <v>17</v>
      </c>
      <c r="J1" s="2" t="s">
        <v>12</v>
      </c>
      <c r="K1" s="2" t="s">
        <v>18</v>
      </c>
      <c r="L1" s="2" t="s">
        <v>19</v>
      </c>
      <c r="M1" s="2" t="s">
        <v>20</v>
      </c>
      <c r="N1" s="2" t="s">
        <v>21</v>
      </c>
    </row>
    <row r="2" spans="1:14" x14ac:dyDescent="0.25">
      <c r="A2" s="3" t="s">
        <v>22</v>
      </c>
      <c r="B2" s="4">
        <v>2718900</v>
      </c>
      <c r="C2" s="5">
        <f>B2/SUM(B$2:B$13)</f>
        <v>5.1290129069499833E-2</v>
      </c>
      <c r="D2" s="4">
        <v>648706</v>
      </c>
      <c r="E2" s="5">
        <f>D2/SUM(D$2:D$13)</f>
        <v>5.7171492356038585E-2</v>
      </c>
      <c r="F2" s="6">
        <f>1+((E2-C2)/C2)</f>
        <v>1.1146685218625461</v>
      </c>
      <c r="G2" s="4">
        <v>2207466</v>
      </c>
      <c r="H2" s="5">
        <f>G2/SUM(G$2:G$13)</f>
        <v>9.3802521722576526E-2</v>
      </c>
      <c r="I2" s="6">
        <f>1+((H2-C2)/C2)</f>
        <v>1.8288610971415373</v>
      </c>
      <c r="J2" s="3">
        <v>0</v>
      </c>
      <c r="K2" s="3">
        <v>3</v>
      </c>
      <c r="L2" s="3">
        <v>3</v>
      </c>
      <c r="M2" s="3">
        <v>6</v>
      </c>
      <c r="N2" s="3">
        <f>SUM(J2:M2)</f>
        <v>12</v>
      </c>
    </row>
    <row r="3" spans="1:14" x14ac:dyDescent="0.25">
      <c r="A3" s="3" t="s">
        <v>23</v>
      </c>
      <c r="B3" s="4">
        <v>5088000</v>
      </c>
      <c r="C3" s="5">
        <f t="shared" ref="C3:E13" si="0">B3/SUM(B$2:B$13)</f>
        <v>9.5981528083274537E-2</v>
      </c>
      <c r="D3" s="4">
        <v>1364324</v>
      </c>
      <c r="E3" s="5">
        <f>D3/SUM(D$2:D$13)</f>
        <v>0.12024004577907402</v>
      </c>
      <c r="F3" s="6">
        <f t="shared" ref="F3:F14" si="1">1+((E3-C3)/C3)</f>
        <v>1.2527415241269397</v>
      </c>
      <c r="G3" s="4">
        <v>2703033</v>
      </c>
      <c r="H3" s="5">
        <f>G3/SUM(G$2:G$13)</f>
        <v>0.11486080043785099</v>
      </c>
      <c r="I3" s="6">
        <f t="shared" ref="I3:I14" si="2">1+((H3-C3)/C3)</f>
        <v>1.1966969346247187</v>
      </c>
      <c r="J3" s="3">
        <v>2</v>
      </c>
      <c r="K3" s="3">
        <v>2</v>
      </c>
      <c r="L3" s="3">
        <v>5</v>
      </c>
      <c r="M3" s="3">
        <v>6</v>
      </c>
      <c r="N3" s="3">
        <f t="shared" ref="N3:N13" si="3">SUM(J3:M3)</f>
        <v>15</v>
      </c>
    </row>
    <row r="4" spans="1:14" x14ac:dyDescent="0.25">
      <c r="A4" s="3" t="s">
        <v>24</v>
      </c>
      <c r="B4" s="4">
        <v>4558000</v>
      </c>
      <c r="C4" s="5">
        <f t="shared" si="0"/>
        <v>8.5983452241266772E-2</v>
      </c>
      <c r="D4" s="4">
        <v>999637</v>
      </c>
      <c r="E4" s="5">
        <f t="shared" si="0"/>
        <v>8.8099599979518217E-2</v>
      </c>
      <c r="F4" s="6">
        <f t="shared" si="1"/>
        <v>1.0246111046147997</v>
      </c>
      <c r="G4" s="4">
        <v>2409798</v>
      </c>
      <c r="H4" s="5">
        <f t="shared" ref="H4" si="4">G4/SUM(G$2:G$13)</f>
        <v>0.1024002767163895</v>
      </c>
      <c r="I4" s="6">
        <f t="shared" si="2"/>
        <v>1.1909300458076242</v>
      </c>
      <c r="J4" s="3">
        <v>0</v>
      </c>
      <c r="K4" s="3">
        <v>3</v>
      </c>
      <c r="L4" s="3">
        <v>3</v>
      </c>
      <c r="M4" s="3">
        <v>6</v>
      </c>
      <c r="N4" s="3">
        <f t="shared" si="3"/>
        <v>12</v>
      </c>
    </row>
    <row r="5" spans="1:14" x14ac:dyDescent="0.25">
      <c r="A5" s="3" t="s">
        <v>25</v>
      </c>
      <c r="B5" s="4">
        <v>5739500</v>
      </c>
      <c r="C5" s="5">
        <f t="shared" si="0"/>
        <v>0.10827161565132748</v>
      </c>
      <c r="D5" s="4">
        <v>1389555</v>
      </c>
      <c r="E5" s="5">
        <f>D5/SUM(D$2:D$13)</f>
        <v>0.1224636939704507</v>
      </c>
      <c r="F5" s="6">
        <f t="shared" si="1"/>
        <v>1.1310784754965391</v>
      </c>
      <c r="G5" s="4">
        <v>2793368</v>
      </c>
      <c r="H5" s="5">
        <f>G5/SUM(G$2:G$13)</f>
        <v>0.11869943296936403</v>
      </c>
      <c r="I5" s="6">
        <f t="shared" si="2"/>
        <v>1.0963116441488947</v>
      </c>
      <c r="J5" s="3">
        <v>2</v>
      </c>
      <c r="K5" s="3">
        <v>2</v>
      </c>
      <c r="L5" s="3">
        <v>6</v>
      </c>
      <c r="M5" s="3">
        <v>3</v>
      </c>
      <c r="N5" s="3">
        <f t="shared" si="3"/>
        <v>13</v>
      </c>
    </row>
    <row r="6" spans="1:14" x14ac:dyDescent="0.25">
      <c r="A6" s="3" t="s">
        <v>7</v>
      </c>
      <c r="B6" s="4">
        <v>7393500</v>
      </c>
      <c r="C6" s="5">
        <f t="shared" si="0"/>
        <v>0.13947315799600832</v>
      </c>
      <c r="D6" s="4">
        <v>1659433</v>
      </c>
      <c r="E6" s="5">
        <f t="shared" si="0"/>
        <v>0.14624847168803462</v>
      </c>
      <c r="F6" s="6">
        <f>1+((E6-C6)/C6)</f>
        <v>1.0485779040883279</v>
      </c>
      <c r="G6" s="4">
        <v>3153203</v>
      </c>
      <c r="H6" s="5">
        <f t="shared" ref="H6" si="5">G6/SUM(G$2:G$13)</f>
        <v>0.13399001067431773</v>
      </c>
      <c r="I6" s="6">
        <f t="shared" si="2"/>
        <v>0.96068671993612198</v>
      </c>
      <c r="J6" s="3">
        <v>3</v>
      </c>
      <c r="K6" s="3">
        <v>8</v>
      </c>
      <c r="L6" s="3">
        <v>11</v>
      </c>
      <c r="M6" s="3">
        <v>7</v>
      </c>
      <c r="N6" s="3">
        <f t="shared" si="3"/>
        <v>29</v>
      </c>
    </row>
    <row r="7" spans="1:14" x14ac:dyDescent="0.25">
      <c r="A7" s="3" t="s">
        <v>26</v>
      </c>
      <c r="B7" s="4">
        <v>4478500</v>
      </c>
      <c r="C7" s="5">
        <f t="shared" si="0"/>
        <v>8.4483740864965615E-2</v>
      </c>
      <c r="D7" s="4">
        <v>1034966</v>
      </c>
      <c r="E7" s="5">
        <f t="shared" si="0"/>
        <v>9.121320098435938E-2</v>
      </c>
      <c r="F7" s="6">
        <f t="shared" si="1"/>
        <v>1.0796539079649632</v>
      </c>
      <c r="G7" s="4">
        <v>1903659</v>
      </c>
      <c r="H7" s="5">
        <f t="shared" ref="H7" si="6">G7/SUM(G$2:G$13)</f>
        <v>8.0892758801212925E-2</v>
      </c>
      <c r="I7" s="6">
        <f t="shared" si="2"/>
        <v>0.95749499220811818</v>
      </c>
      <c r="J7" s="3">
        <v>3</v>
      </c>
      <c r="K7" s="3">
        <v>1</v>
      </c>
      <c r="L7" s="3">
        <v>4</v>
      </c>
      <c r="M7" s="3">
        <v>2</v>
      </c>
      <c r="N7" s="3">
        <f t="shared" si="3"/>
        <v>10</v>
      </c>
    </row>
    <row r="8" spans="1:14" x14ac:dyDescent="0.25">
      <c r="A8" s="3" t="s">
        <v>27</v>
      </c>
      <c r="B8" s="4">
        <v>4499700</v>
      </c>
      <c r="C8" s="5">
        <f t="shared" si="0"/>
        <v>8.488366389864592E-2</v>
      </c>
      <c r="D8" s="4">
        <v>965845</v>
      </c>
      <c r="E8" s="5">
        <f t="shared" si="0"/>
        <v>8.5121457231192701E-2</v>
      </c>
      <c r="F8" s="6">
        <f t="shared" si="1"/>
        <v>1.0028014027861794</v>
      </c>
      <c r="G8" s="4">
        <v>1768822</v>
      </c>
      <c r="H8" s="5">
        <f t="shared" ref="H8" si="7">G8/SUM(G$2:G$13)</f>
        <v>7.516308929712677E-2</v>
      </c>
      <c r="I8" s="6">
        <f t="shared" si="2"/>
        <v>0.88548356473954914</v>
      </c>
      <c r="J8" s="3">
        <v>1</v>
      </c>
      <c r="K8" s="3">
        <v>7</v>
      </c>
      <c r="L8" s="3">
        <v>7</v>
      </c>
      <c r="M8" s="3">
        <v>2</v>
      </c>
      <c r="N8" s="3">
        <f t="shared" si="3"/>
        <v>17</v>
      </c>
    </row>
    <row r="9" spans="1:14" x14ac:dyDescent="0.25">
      <c r="A9" s="3" t="s">
        <v>28</v>
      </c>
      <c r="B9" s="4">
        <v>4049200</v>
      </c>
      <c r="C9" s="5">
        <f t="shared" si="0"/>
        <v>7.6385299432939327E-2</v>
      </c>
      <c r="D9" s="4">
        <v>689617</v>
      </c>
      <c r="E9" s="5">
        <f t="shared" si="0"/>
        <v>6.0777043906013295E-2</v>
      </c>
      <c r="F9" s="6">
        <f t="shared" si="1"/>
        <v>0.79566414424245424</v>
      </c>
      <c r="G9" s="4">
        <v>1574305</v>
      </c>
      <c r="H9" s="5">
        <f t="shared" ref="H9" si="8">G9/SUM(G$2:G$13)</f>
        <v>6.6897419466692046E-2</v>
      </c>
      <c r="I9" s="6">
        <f t="shared" si="2"/>
        <v>0.8757891893246168</v>
      </c>
      <c r="J9" s="3">
        <v>2</v>
      </c>
      <c r="K9" s="3">
        <v>1</v>
      </c>
      <c r="L9" s="3">
        <v>3</v>
      </c>
      <c r="M9" s="3">
        <v>2</v>
      </c>
      <c r="N9" s="3">
        <f t="shared" si="3"/>
        <v>8</v>
      </c>
    </row>
    <row r="10" spans="1:14" x14ac:dyDescent="0.25">
      <c r="A10" s="3" t="s">
        <v>29</v>
      </c>
      <c r="B10" s="4">
        <v>4695800</v>
      </c>
      <c r="C10" s="5">
        <f t="shared" si="0"/>
        <v>8.8582951960188797E-2</v>
      </c>
      <c r="D10" s="4">
        <v>804585</v>
      </c>
      <c r="E10" s="5">
        <f t="shared" si="0"/>
        <v>7.0909356746019475E-2</v>
      </c>
      <c r="F10" s="6">
        <f t="shared" si="1"/>
        <v>0.8004853662800463</v>
      </c>
      <c r="G10" s="4">
        <v>1788330</v>
      </c>
      <c r="H10" s="5">
        <f t="shared" ref="H10" si="9">G10/SUM(G$2:G$13)</f>
        <v>7.5992048653132263E-2</v>
      </c>
      <c r="I10" s="6">
        <f t="shared" si="2"/>
        <v>0.85786313248270196</v>
      </c>
      <c r="J10" s="3">
        <v>4</v>
      </c>
      <c r="K10" s="3">
        <v>2</v>
      </c>
      <c r="L10" s="3">
        <v>4</v>
      </c>
      <c r="M10" s="3">
        <v>1</v>
      </c>
      <c r="N10" s="3">
        <f t="shared" si="3"/>
        <v>11</v>
      </c>
    </row>
    <row r="11" spans="1:14" x14ac:dyDescent="0.25">
      <c r="A11" s="3" t="s">
        <v>30</v>
      </c>
      <c r="B11" s="4">
        <v>2284300</v>
      </c>
      <c r="C11" s="5">
        <f t="shared" si="0"/>
        <v>4.3091706879053462E-2</v>
      </c>
      <c r="D11" s="4">
        <v>457959</v>
      </c>
      <c r="E11" s="5">
        <f t="shared" si="0"/>
        <v>4.0360655625012065E-2</v>
      </c>
      <c r="F11" s="6">
        <f t="shared" si="1"/>
        <v>0.93662234680778123</v>
      </c>
      <c r="G11" s="4">
        <v>777944</v>
      </c>
      <c r="H11" s="5">
        <f t="shared" ref="H11" si="10">G11/SUM(G$2:G$13)</f>
        <v>3.3057410152160023E-2</v>
      </c>
      <c r="I11" s="6">
        <f t="shared" si="2"/>
        <v>0.76714088501861988</v>
      </c>
      <c r="J11" s="3">
        <v>1</v>
      </c>
      <c r="K11" s="3">
        <v>3</v>
      </c>
      <c r="L11" s="3">
        <v>4</v>
      </c>
      <c r="M11" s="3">
        <v>1</v>
      </c>
      <c r="N11" s="3">
        <f t="shared" si="3"/>
        <v>9</v>
      </c>
    </row>
    <row r="12" spans="1:14" x14ac:dyDescent="0.25">
      <c r="A12" s="3" t="s">
        <v>31</v>
      </c>
      <c r="B12" s="4">
        <v>4844200</v>
      </c>
      <c r="C12" s="5">
        <f t="shared" si="0"/>
        <v>9.1382413195950973E-2</v>
      </c>
      <c r="D12" s="4">
        <v>877622</v>
      </c>
      <c r="E12" s="5">
        <f t="shared" si="0"/>
        <v>7.7346223812468667E-2</v>
      </c>
      <c r="F12" s="6">
        <f t="shared" si="1"/>
        <v>0.8464016336120983</v>
      </c>
      <c r="G12" s="4">
        <v>1603330</v>
      </c>
      <c r="H12" s="5">
        <f t="shared" ref="H12" si="11">G12/SUM(G$2:G$13)</f>
        <v>6.8130787587876149E-2</v>
      </c>
      <c r="I12" s="6">
        <f t="shared" si="2"/>
        <v>0.74555688786400887</v>
      </c>
      <c r="J12" s="3">
        <v>1</v>
      </c>
      <c r="K12" s="3">
        <v>2</v>
      </c>
      <c r="L12" s="3">
        <v>3</v>
      </c>
      <c r="M12" s="3">
        <v>2</v>
      </c>
      <c r="N12" s="3">
        <f t="shared" si="3"/>
        <v>8</v>
      </c>
    </row>
    <row r="13" spans="1:14" x14ac:dyDescent="0.25">
      <c r="A13" s="3" t="s">
        <v>32</v>
      </c>
      <c r="B13" s="4">
        <v>2660600</v>
      </c>
      <c r="C13" s="5">
        <f t="shared" si="0"/>
        <v>5.0190340726878981E-2</v>
      </c>
      <c r="D13" s="4">
        <v>454420</v>
      </c>
      <c r="E13" s="5">
        <f t="shared" si="0"/>
        <v>4.0048757921818286E-2</v>
      </c>
      <c r="F13" s="6">
        <f t="shared" si="1"/>
        <v>0.7979375581399577</v>
      </c>
      <c r="G13" s="4">
        <v>849862</v>
      </c>
      <c r="H13" s="5">
        <f t="shared" ref="H13" si="12">G13/SUM(G$2:G$13)</f>
        <v>3.6113443521301046E-2</v>
      </c>
      <c r="I13" s="6">
        <f t="shared" si="2"/>
        <v>0.71952975409789999</v>
      </c>
      <c r="J13" s="3">
        <v>0</v>
      </c>
      <c r="K13" s="3">
        <v>2</v>
      </c>
      <c r="L13" s="3">
        <v>1</v>
      </c>
      <c r="M13" s="3">
        <v>1</v>
      </c>
      <c r="N13" s="3">
        <f t="shared" si="3"/>
        <v>4</v>
      </c>
    </row>
    <row r="14" spans="1:14" x14ac:dyDescent="0.25">
      <c r="A14" s="34" t="s">
        <v>34</v>
      </c>
      <c r="B14" s="35">
        <f>B2+B4</f>
        <v>7276900</v>
      </c>
      <c r="C14" s="36">
        <f t="shared" ref="C14:N14" si="13">C2+C4</f>
        <v>0.13727358131076661</v>
      </c>
      <c r="D14" s="35">
        <f t="shared" si="13"/>
        <v>1648343</v>
      </c>
      <c r="E14" s="36">
        <f t="shared" si="13"/>
        <v>0.1452710923355568</v>
      </c>
      <c r="F14" s="37">
        <f t="shared" si="1"/>
        <v>1.0582596516272496</v>
      </c>
      <c r="G14" s="35">
        <f t="shared" si="13"/>
        <v>4617264</v>
      </c>
      <c r="H14" s="36">
        <f t="shared" si="13"/>
        <v>0.19620279843896604</v>
      </c>
      <c r="I14" s="37">
        <f t="shared" si="2"/>
        <v>1.429283016917819</v>
      </c>
      <c r="J14" s="35">
        <f t="shared" si="13"/>
        <v>0</v>
      </c>
      <c r="K14" s="35">
        <f t="shared" si="13"/>
        <v>6</v>
      </c>
      <c r="L14" s="35">
        <f t="shared" si="13"/>
        <v>6</v>
      </c>
      <c r="M14" s="35">
        <f t="shared" si="13"/>
        <v>12</v>
      </c>
      <c r="N14" s="35">
        <f t="shared" si="13"/>
        <v>24</v>
      </c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FD06-413C-44ED-AA2A-78D5F81BEA26}">
  <dimension ref="A1:B56"/>
  <sheetViews>
    <sheetView workbookViewId="0">
      <selection activeCell="G37" sqref="G37"/>
    </sheetView>
  </sheetViews>
  <sheetFormatPr defaultRowHeight="15" x14ac:dyDescent="0.25"/>
  <cols>
    <col min="1" max="1" width="30" customWidth="1"/>
    <col min="2" max="2" width="23.57031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3</v>
      </c>
      <c r="B2" t="s">
        <v>49</v>
      </c>
    </row>
    <row r="3" spans="1:2" x14ac:dyDescent="0.25">
      <c r="A3" t="s">
        <v>36</v>
      </c>
      <c r="B3" t="s">
        <v>49</v>
      </c>
    </row>
    <row r="4" spans="1:2" x14ac:dyDescent="0.25">
      <c r="A4" t="s">
        <v>37</v>
      </c>
      <c r="B4" t="s">
        <v>49</v>
      </c>
    </row>
    <row r="5" spans="1:2" x14ac:dyDescent="0.25">
      <c r="A5" t="s">
        <v>38</v>
      </c>
      <c r="B5" t="s">
        <v>49</v>
      </c>
    </row>
    <row r="6" spans="1:2" x14ac:dyDescent="0.25">
      <c r="A6" t="s">
        <v>39</v>
      </c>
      <c r="B6" t="s">
        <v>49</v>
      </c>
    </row>
    <row r="7" spans="1:2" x14ac:dyDescent="0.25">
      <c r="A7" t="s">
        <v>40</v>
      </c>
      <c r="B7" t="s">
        <v>49</v>
      </c>
    </row>
    <row r="8" spans="1:2" x14ac:dyDescent="0.25">
      <c r="A8" t="s">
        <v>41</v>
      </c>
      <c r="B8" t="s">
        <v>49</v>
      </c>
    </row>
    <row r="9" spans="1:2" x14ac:dyDescent="0.25">
      <c r="A9" t="s">
        <v>42</v>
      </c>
      <c r="B9" t="s">
        <v>49</v>
      </c>
    </row>
    <row r="10" spans="1:2" x14ac:dyDescent="0.25">
      <c r="A10" t="s">
        <v>43</v>
      </c>
      <c r="B10" t="s">
        <v>49</v>
      </c>
    </row>
    <row r="11" spans="1:2" x14ac:dyDescent="0.25">
      <c r="A11" t="s">
        <v>47</v>
      </c>
      <c r="B11" t="s">
        <v>49</v>
      </c>
    </row>
    <row r="12" spans="1:2" x14ac:dyDescent="0.25">
      <c r="A12" t="s">
        <v>44</v>
      </c>
      <c r="B12" t="s">
        <v>49</v>
      </c>
    </row>
    <row r="13" spans="1:2" x14ac:dyDescent="0.25">
      <c r="A13" t="s">
        <v>45</v>
      </c>
      <c r="B13" t="s">
        <v>49</v>
      </c>
    </row>
    <row r="14" spans="1:2" x14ac:dyDescent="0.25">
      <c r="A14" t="s">
        <v>46</v>
      </c>
      <c r="B14" t="s">
        <v>49</v>
      </c>
    </row>
    <row r="15" spans="1:2" x14ac:dyDescent="0.25">
      <c r="A15" t="s">
        <v>65</v>
      </c>
      <c r="B15" t="s">
        <v>49</v>
      </c>
    </row>
    <row r="16" spans="1:2" x14ac:dyDescent="0.25">
      <c r="A16" t="s">
        <v>66</v>
      </c>
      <c r="B16" t="s">
        <v>49</v>
      </c>
    </row>
    <row r="17" spans="1:2" x14ac:dyDescent="0.25">
      <c r="A17" t="s">
        <v>67</v>
      </c>
      <c r="B17" t="s">
        <v>49</v>
      </c>
    </row>
    <row r="18" spans="1:2" x14ac:dyDescent="0.25">
      <c r="A18" t="s">
        <v>43</v>
      </c>
      <c r="B18" t="s">
        <v>48</v>
      </c>
    </row>
    <row r="19" spans="1:2" x14ac:dyDescent="0.25">
      <c r="A19" t="s">
        <v>43</v>
      </c>
      <c r="B19" t="s">
        <v>50</v>
      </c>
    </row>
    <row r="20" spans="1:2" x14ac:dyDescent="0.25">
      <c r="A20" t="s">
        <v>52</v>
      </c>
      <c r="B20" t="s">
        <v>50</v>
      </c>
    </row>
    <row r="21" spans="1:2" x14ac:dyDescent="0.25">
      <c r="A21" t="s">
        <v>54</v>
      </c>
      <c r="B21" t="s">
        <v>50</v>
      </c>
    </row>
    <row r="22" spans="1:2" x14ac:dyDescent="0.25">
      <c r="A22" t="s">
        <v>55</v>
      </c>
      <c r="B22" t="s">
        <v>50</v>
      </c>
    </row>
    <row r="23" spans="1:2" x14ac:dyDescent="0.25">
      <c r="A23" t="s">
        <v>56</v>
      </c>
      <c r="B23" t="s">
        <v>50</v>
      </c>
    </row>
    <row r="24" spans="1:2" x14ac:dyDescent="0.25">
      <c r="A24" t="s">
        <v>57</v>
      </c>
      <c r="B24" t="s">
        <v>50</v>
      </c>
    </row>
    <row r="25" spans="1:2" x14ac:dyDescent="0.25">
      <c r="A25" t="s">
        <v>58</v>
      </c>
      <c r="B25" t="s">
        <v>50</v>
      </c>
    </row>
    <row r="26" spans="1:2" x14ac:dyDescent="0.25">
      <c r="A26" t="s">
        <v>59</v>
      </c>
      <c r="B26" t="s">
        <v>50</v>
      </c>
    </row>
    <row r="27" spans="1:2" x14ac:dyDescent="0.25">
      <c r="A27" t="s">
        <v>60</v>
      </c>
      <c r="B27" t="s">
        <v>50</v>
      </c>
    </row>
    <row r="28" spans="1:2" x14ac:dyDescent="0.25">
      <c r="A28" t="s">
        <v>61</v>
      </c>
      <c r="B28" t="s">
        <v>50</v>
      </c>
    </row>
    <row r="29" spans="1:2" x14ac:dyDescent="0.25">
      <c r="A29" t="s">
        <v>62</v>
      </c>
      <c r="B29" t="s">
        <v>50</v>
      </c>
    </row>
    <row r="30" spans="1:2" x14ac:dyDescent="0.25">
      <c r="A30" t="s">
        <v>63</v>
      </c>
      <c r="B30" t="s">
        <v>50</v>
      </c>
    </row>
    <row r="31" spans="1:2" x14ac:dyDescent="0.25">
      <c r="A31" t="s">
        <v>64</v>
      </c>
      <c r="B31" t="s">
        <v>50</v>
      </c>
    </row>
    <row r="32" spans="1:2" x14ac:dyDescent="0.25">
      <c r="A32" t="s">
        <v>65</v>
      </c>
      <c r="B32" t="s">
        <v>50</v>
      </c>
    </row>
    <row r="33" spans="1:2" x14ac:dyDescent="0.25">
      <c r="A33" t="s">
        <v>68</v>
      </c>
      <c r="B33" t="s">
        <v>50</v>
      </c>
    </row>
    <row r="34" spans="1:2" x14ac:dyDescent="0.25">
      <c r="A34" t="s">
        <v>69</v>
      </c>
      <c r="B34" t="s">
        <v>50</v>
      </c>
    </row>
    <row r="35" spans="1:2" x14ac:dyDescent="0.25">
      <c r="A35" t="s">
        <v>70</v>
      </c>
      <c r="B35" t="s">
        <v>50</v>
      </c>
    </row>
    <row r="36" spans="1:2" x14ac:dyDescent="0.25">
      <c r="A36" t="s">
        <v>71</v>
      </c>
      <c r="B36" t="s">
        <v>50</v>
      </c>
    </row>
    <row r="37" spans="1:2" x14ac:dyDescent="0.25">
      <c r="A37" t="s">
        <v>72</v>
      </c>
      <c r="B37" t="s">
        <v>50</v>
      </c>
    </row>
    <row r="38" spans="1:2" x14ac:dyDescent="0.25">
      <c r="A38" t="s">
        <v>73</v>
      </c>
      <c r="B38" t="s">
        <v>50</v>
      </c>
    </row>
    <row r="39" spans="1:2" x14ac:dyDescent="0.25">
      <c r="A39" t="s">
        <v>74</v>
      </c>
      <c r="B39" t="s">
        <v>50</v>
      </c>
    </row>
    <row r="40" spans="1:2" x14ac:dyDescent="0.25">
      <c r="A40" t="s">
        <v>75</v>
      </c>
      <c r="B40" t="s">
        <v>50</v>
      </c>
    </row>
    <row r="41" spans="1:2" x14ac:dyDescent="0.25">
      <c r="A41" t="s">
        <v>76</v>
      </c>
      <c r="B41" t="s">
        <v>50</v>
      </c>
    </row>
    <row r="42" spans="1:2" x14ac:dyDescent="0.25">
      <c r="A42" t="s">
        <v>77</v>
      </c>
      <c r="B42" t="s">
        <v>50</v>
      </c>
    </row>
    <row r="43" spans="1:2" x14ac:dyDescent="0.25">
      <c r="A43" t="s">
        <v>113</v>
      </c>
      <c r="B43" t="s">
        <v>125</v>
      </c>
    </row>
    <row r="44" spans="1:2" x14ac:dyDescent="0.25">
      <c r="A44" t="s">
        <v>53</v>
      </c>
      <c r="B44" t="s">
        <v>125</v>
      </c>
    </row>
    <row r="45" spans="1:2" x14ac:dyDescent="0.25">
      <c r="A45" t="s">
        <v>114</v>
      </c>
      <c r="B45" t="s">
        <v>125</v>
      </c>
    </row>
    <row r="46" spans="1:2" x14ac:dyDescent="0.25">
      <c r="A46" t="s">
        <v>103</v>
      </c>
      <c r="B46" t="s">
        <v>125</v>
      </c>
    </row>
    <row r="47" spans="1:2" x14ac:dyDescent="0.25">
      <c r="A47" t="s">
        <v>115</v>
      </c>
      <c r="B47" t="s">
        <v>125</v>
      </c>
    </row>
    <row r="48" spans="1:2" x14ac:dyDescent="0.25">
      <c r="A48" t="s">
        <v>116</v>
      </c>
      <c r="B48" t="s">
        <v>125</v>
      </c>
    </row>
    <row r="49" spans="1:2" x14ac:dyDescent="0.25">
      <c r="A49" t="s">
        <v>117</v>
      </c>
      <c r="B49" t="s">
        <v>125</v>
      </c>
    </row>
    <row r="50" spans="1:2" x14ac:dyDescent="0.25">
      <c r="A50" t="s">
        <v>118</v>
      </c>
      <c r="B50" t="s">
        <v>125</v>
      </c>
    </row>
    <row r="51" spans="1:2" x14ac:dyDescent="0.25">
      <c r="A51" t="s">
        <v>119</v>
      </c>
      <c r="B51" t="s">
        <v>125</v>
      </c>
    </row>
    <row r="52" spans="1:2" x14ac:dyDescent="0.25">
      <c r="A52" t="s">
        <v>120</v>
      </c>
      <c r="B52" t="s">
        <v>125</v>
      </c>
    </row>
    <row r="53" spans="1:2" x14ac:dyDescent="0.25">
      <c r="A53" t="s">
        <v>121</v>
      </c>
      <c r="B53" t="s">
        <v>125</v>
      </c>
    </row>
    <row r="54" spans="1:2" x14ac:dyDescent="0.25">
      <c r="A54" t="s">
        <v>122</v>
      </c>
      <c r="B54" t="s">
        <v>125</v>
      </c>
    </row>
    <row r="55" spans="1:2" x14ac:dyDescent="0.25">
      <c r="A55" t="s">
        <v>123</v>
      </c>
      <c r="B55" t="s">
        <v>125</v>
      </c>
    </row>
    <row r="56" spans="1:2" x14ac:dyDescent="0.25">
      <c r="A56" t="s">
        <v>124</v>
      </c>
      <c r="B5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3589-179F-4190-B8EF-E3F6BF2A4477}">
  <dimension ref="A1:B2"/>
  <sheetViews>
    <sheetView tabSelected="1" workbookViewId="0">
      <selection activeCell="I18" sqref="I18"/>
    </sheetView>
  </sheetViews>
  <sheetFormatPr defaultRowHeight="15" x14ac:dyDescent="0.25"/>
  <cols>
    <col min="1" max="1" width="23.7109375" bestFit="1" customWidth="1"/>
    <col min="2" max="2" width="11.710937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126</v>
      </c>
      <c r="B2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38DB-6CD5-432D-B67F-81A20B188CE6}">
  <dimension ref="A1:D9"/>
  <sheetViews>
    <sheetView zoomScale="175" zoomScaleNormal="175" workbookViewId="0">
      <selection activeCell="B12" sqref="B12"/>
    </sheetView>
  </sheetViews>
  <sheetFormatPr defaultRowHeight="15" x14ac:dyDescent="0.25"/>
  <cols>
    <col min="1" max="1" width="17.5703125" customWidth="1"/>
    <col min="3" max="3" width="17" bestFit="1" customWidth="1"/>
    <col min="4" max="4" width="11.42578125" customWidth="1"/>
  </cols>
  <sheetData>
    <row r="1" spans="1:4" x14ac:dyDescent="0.25">
      <c r="A1" s="11" t="s">
        <v>0</v>
      </c>
      <c r="B1" s="11" t="s">
        <v>6</v>
      </c>
      <c r="C1" s="11" t="s">
        <v>10</v>
      </c>
      <c r="D1" s="11" t="s">
        <v>51</v>
      </c>
    </row>
    <row r="2" spans="1:4" x14ac:dyDescent="0.25">
      <c r="A2" s="7" t="s">
        <v>34</v>
      </c>
      <c r="B2" s="7" t="s">
        <v>9</v>
      </c>
      <c r="C2" s="12">
        <f>SUM(924430,109740)*38%</f>
        <v>392984.6</v>
      </c>
      <c r="D2" s="9">
        <f>(C2/1000)*37.02</f>
        <v>14548.289892000001</v>
      </c>
    </row>
    <row r="3" spans="1:4" x14ac:dyDescent="0.25">
      <c r="A3" s="7" t="s">
        <v>25</v>
      </c>
      <c r="B3" s="7" t="s">
        <v>9</v>
      </c>
      <c r="C3" s="12">
        <f>SUM(924430+109740)*22%</f>
        <v>227517.4</v>
      </c>
      <c r="D3" s="9">
        <f>(C3/1000)*37.02</f>
        <v>8422.6941480000005</v>
      </c>
    </row>
    <row r="4" spans="1:4" x14ac:dyDescent="0.25">
      <c r="A4" s="7" t="s">
        <v>7</v>
      </c>
      <c r="B4" s="7" t="s">
        <v>9</v>
      </c>
      <c r="C4" s="12">
        <f>SUM(924430+109740)*24%</f>
        <v>248200.8</v>
      </c>
      <c r="D4" s="9">
        <f>(C4/1000)*37.02</f>
        <v>9188.3936159999994</v>
      </c>
    </row>
    <row r="5" spans="1:4" x14ac:dyDescent="0.25">
      <c r="A5" s="7" t="s">
        <v>35</v>
      </c>
      <c r="B5" s="7" t="s">
        <v>9</v>
      </c>
      <c r="C5" s="12">
        <f>SUM(924430+109740)*16%</f>
        <v>165467.20000000001</v>
      </c>
      <c r="D5" s="9">
        <f>(C5/1000)*37.02</f>
        <v>6125.5957440000011</v>
      </c>
    </row>
    <row r="6" spans="1:4" x14ac:dyDescent="0.25">
      <c r="A6" s="7" t="s">
        <v>34</v>
      </c>
      <c r="B6" s="7" t="s">
        <v>8</v>
      </c>
      <c r="C6" s="8">
        <v>710700</v>
      </c>
      <c r="D6" s="10">
        <f>SUM(27273,2950)</f>
        <v>30223</v>
      </c>
    </row>
    <row r="7" spans="1:4" x14ac:dyDescent="0.25">
      <c r="A7" s="7" t="s">
        <v>25</v>
      </c>
      <c r="B7" s="7" t="s">
        <v>8</v>
      </c>
      <c r="C7" s="8">
        <v>1449690</v>
      </c>
      <c r="D7" s="10">
        <f>SUM(36818,3982.5)</f>
        <v>40800.5</v>
      </c>
    </row>
    <row r="8" spans="1:4" x14ac:dyDescent="0.25">
      <c r="A8" s="7" t="s">
        <v>7</v>
      </c>
      <c r="B8" s="7" t="s">
        <v>8</v>
      </c>
      <c r="C8" s="8">
        <v>1683580</v>
      </c>
      <c r="D8" s="10">
        <f>SUM(43636,4720)</f>
        <v>48356</v>
      </c>
    </row>
    <row r="9" spans="1:4" x14ac:dyDescent="0.25">
      <c r="A9" s="7" t="s">
        <v>35</v>
      </c>
      <c r="B9" s="7" t="s">
        <v>8</v>
      </c>
      <c r="C9" s="8">
        <v>1081250</v>
      </c>
      <c r="D9" s="10">
        <f>SUM(28636,3097.5)</f>
        <v>31733.5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A877-505C-4827-A0A0-2089739A1741}">
  <dimension ref="A1:E38"/>
  <sheetViews>
    <sheetView zoomScale="115" zoomScaleNormal="115" workbookViewId="0">
      <selection activeCell="F12" sqref="F12"/>
    </sheetView>
  </sheetViews>
  <sheetFormatPr defaultRowHeight="15" x14ac:dyDescent="0.25"/>
  <cols>
    <col min="2" max="2" width="23.140625" bestFit="1" customWidth="1"/>
    <col min="3" max="3" width="23.140625" customWidth="1"/>
    <col min="4" max="4" width="12.42578125" bestFit="1" customWidth="1"/>
    <col min="5" max="5" width="15.140625" customWidth="1"/>
    <col min="6" max="6" width="18" customWidth="1"/>
  </cols>
  <sheetData>
    <row r="1" spans="1:5" x14ac:dyDescent="0.25">
      <c r="A1" s="13" t="s">
        <v>78</v>
      </c>
      <c r="B1" s="13" t="s">
        <v>79</v>
      </c>
      <c r="C1" s="28" t="s">
        <v>127</v>
      </c>
      <c r="D1" s="14" t="s">
        <v>80</v>
      </c>
      <c r="E1" s="15" t="s">
        <v>11</v>
      </c>
    </row>
    <row r="2" spans="1:5" x14ac:dyDescent="0.25">
      <c r="A2" s="16">
        <v>2002</v>
      </c>
      <c r="B2" s="32" t="s">
        <v>146</v>
      </c>
      <c r="C2" s="29" t="s">
        <v>145</v>
      </c>
      <c r="D2" s="17" t="s">
        <v>81</v>
      </c>
      <c r="E2" s="18" t="s">
        <v>82</v>
      </c>
    </row>
    <row r="3" spans="1:5" x14ac:dyDescent="0.25">
      <c r="A3" s="19">
        <v>2004</v>
      </c>
      <c r="B3" s="33" t="s">
        <v>147</v>
      </c>
      <c r="C3" s="29" t="s">
        <v>12</v>
      </c>
      <c r="D3" s="17" t="s">
        <v>81</v>
      </c>
      <c r="E3" s="18" t="s">
        <v>83</v>
      </c>
    </row>
    <row r="4" spans="1:5" x14ac:dyDescent="0.25">
      <c r="A4" s="20">
        <v>2006</v>
      </c>
      <c r="B4" s="33" t="s">
        <v>148</v>
      </c>
      <c r="C4" s="29" t="s">
        <v>145</v>
      </c>
      <c r="D4" s="17" t="s">
        <v>81</v>
      </c>
      <c r="E4" s="18" t="s">
        <v>84</v>
      </c>
    </row>
    <row r="5" spans="1:5" x14ac:dyDescent="0.25">
      <c r="A5" s="16">
        <v>2017</v>
      </c>
      <c r="B5" s="33" t="s">
        <v>149</v>
      </c>
      <c r="C5" s="29" t="s">
        <v>145</v>
      </c>
      <c r="D5" s="17" t="s">
        <v>81</v>
      </c>
      <c r="E5" s="18" t="s">
        <v>85</v>
      </c>
    </row>
    <row r="6" spans="1:5" x14ac:dyDescent="0.25">
      <c r="A6" s="21">
        <v>2025</v>
      </c>
      <c r="B6" s="33" t="s">
        <v>150</v>
      </c>
      <c r="C6" s="29" t="s">
        <v>12</v>
      </c>
      <c r="D6" s="17" t="s">
        <v>81</v>
      </c>
      <c r="E6" s="18" t="s">
        <v>86</v>
      </c>
    </row>
    <row r="7" spans="1:5" x14ac:dyDescent="0.25">
      <c r="A7" s="16">
        <v>2035</v>
      </c>
      <c r="B7" s="33" t="s">
        <v>166</v>
      </c>
      <c r="C7" s="29" t="s">
        <v>12</v>
      </c>
      <c r="D7" s="17" t="s">
        <v>81</v>
      </c>
      <c r="E7" s="18" t="s">
        <v>87</v>
      </c>
    </row>
    <row r="8" spans="1:5" x14ac:dyDescent="0.25">
      <c r="A8" s="22">
        <v>2037</v>
      </c>
      <c r="B8" s="33" t="s">
        <v>167</v>
      </c>
      <c r="C8" s="29" t="s">
        <v>12</v>
      </c>
      <c r="D8" s="17" t="s">
        <v>81</v>
      </c>
      <c r="E8" s="18" t="s">
        <v>88</v>
      </c>
    </row>
    <row r="9" spans="1:5" x14ac:dyDescent="0.25">
      <c r="A9" s="16">
        <v>2039</v>
      </c>
      <c r="B9" s="33" t="s">
        <v>121</v>
      </c>
      <c r="C9" s="29" t="s">
        <v>145</v>
      </c>
      <c r="D9" s="17" t="s">
        <v>81</v>
      </c>
      <c r="E9" s="18" t="s">
        <v>89</v>
      </c>
    </row>
    <row r="10" spans="1:5" x14ac:dyDescent="0.25">
      <c r="A10" s="16">
        <v>2045</v>
      </c>
      <c r="B10" s="33" t="s">
        <v>103</v>
      </c>
      <c r="C10" s="29" t="s">
        <v>12</v>
      </c>
      <c r="D10" s="17" t="s">
        <v>81</v>
      </c>
      <c r="E10" s="18" t="s">
        <v>90</v>
      </c>
    </row>
    <row r="11" spans="1:5" ht="18" x14ac:dyDescent="0.35">
      <c r="A11" s="16">
        <v>2053</v>
      </c>
      <c r="B11" s="33" t="s">
        <v>168</v>
      </c>
      <c r="C11" s="29" t="s">
        <v>145</v>
      </c>
      <c r="D11" s="17" t="s">
        <v>81</v>
      </c>
      <c r="E11" s="23" t="s">
        <v>91</v>
      </c>
    </row>
    <row r="12" spans="1:5" x14ac:dyDescent="0.25">
      <c r="A12" s="16">
        <v>2055</v>
      </c>
      <c r="B12" s="33" t="s">
        <v>151</v>
      </c>
      <c r="C12" s="29" t="s">
        <v>12</v>
      </c>
      <c r="D12" s="17" t="s">
        <v>81</v>
      </c>
      <c r="E12" s="18" t="s">
        <v>92</v>
      </c>
    </row>
    <row r="13" spans="1:5" x14ac:dyDescent="0.25">
      <c r="A13" s="16">
        <v>2624</v>
      </c>
      <c r="B13" s="33" t="s">
        <v>152</v>
      </c>
      <c r="C13" s="29" t="s">
        <v>12</v>
      </c>
      <c r="D13" s="17" t="s">
        <v>81</v>
      </c>
      <c r="E13" s="18" t="s">
        <v>93</v>
      </c>
    </row>
    <row r="14" spans="1:5" x14ac:dyDescent="0.25">
      <c r="A14" s="24">
        <v>2735</v>
      </c>
      <c r="B14" s="33" t="s">
        <v>153</v>
      </c>
      <c r="C14" s="29" t="s">
        <v>12</v>
      </c>
      <c r="D14" s="17" t="s">
        <v>81</v>
      </c>
      <c r="E14" s="18" t="s">
        <v>94</v>
      </c>
    </row>
    <row r="15" spans="1:5" x14ac:dyDescent="0.25">
      <c r="A15" s="16">
        <v>2962</v>
      </c>
      <c r="B15" s="33" t="s">
        <v>169</v>
      </c>
      <c r="C15" s="29" t="s">
        <v>12</v>
      </c>
      <c r="D15" s="17" t="s">
        <v>81</v>
      </c>
      <c r="E15" s="18" t="s">
        <v>95</v>
      </c>
    </row>
    <row r="16" spans="1:5" x14ac:dyDescent="0.25">
      <c r="A16" s="16">
        <v>2963</v>
      </c>
      <c r="B16" s="33" t="s">
        <v>154</v>
      </c>
      <c r="C16" s="29" t="s">
        <v>12</v>
      </c>
      <c r="D16" s="17" t="s">
        <v>81</v>
      </c>
      <c r="E16" s="18" t="s">
        <v>96</v>
      </c>
    </row>
    <row r="17" spans="1:5" x14ac:dyDescent="0.25">
      <c r="A17" s="16">
        <v>3274</v>
      </c>
      <c r="B17" s="33" t="s">
        <v>155</v>
      </c>
      <c r="C17" s="29" t="s">
        <v>12</v>
      </c>
      <c r="D17" s="17" t="s">
        <v>81</v>
      </c>
      <c r="E17" s="18" t="s">
        <v>97</v>
      </c>
    </row>
    <row r="18" spans="1:5" x14ac:dyDescent="0.25">
      <c r="A18" s="16">
        <v>3281</v>
      </c>
      <c r="B18" s="33" t="s">
        <v>156</v>
      </c>
      <c r="C18" s="29" t="s">
        <v>12</v>
      </c>
      <c r="D18" s="17" t="s">
        <v>81</v>
      </c>
      <c r="E18" s="18" t="s">
        <v>98</v>
      </c>
    </row>
    <row r="19" spans="1:5" x14ac:dyDescent="0.25">
      <c r="A19" s="24">
        <v>3417</v>
      </c>
      <c r="B19" s="33" t="s">
        <v>157</v>
      </c>
      <c r="C19" s="29" t="s">
        <v>12</v>
      </c>
      <c r="D19" s="17" t="s">
        <v>81</v>
      </c>
      <c r="E19" s="18" t="s">
        <v>99</v>
      </c>
    </row>
    <row r="20" spans="1:5" x14ac:dyDescent="0.25">
      <c r="A20" s="16">
        <v>3467</v>
      </c>
      <c r="B20" s="33" t="s">
        <v>116</v>
      </c>
      <c r="C20" s="29" t="s">
        <v>12</v>
      </c>
      <c r="D20" s="17" t="s">
        <v>81</v>
      </c>
      <c r="E20" s="18" t="s">
        <v>100</v>
      </c>
    </row>
    <row r="21" spans="1:5" x14ac:dyDescent="0.25">
      <c r="A21" s="16">
        <v>3484</v>
      </c>
      <c r="B21" s="33" t="s">
        <v>158</v>
      </c>
      <c r="C21" s="29" t="s">
        <v>12</v>
      </c>
      <c r="D21" s="17" t="s">
        <v>81</v>
      </c>
      <c r="E21" s="18" t="s">
        <v>101</v>
      </c>
    </row>
    <row r="22" spans="1:5" x14ac:dyDescent="0.25">
      <c r="A22" s="19">
        <v>3486</v>
      </c>
      <c r="B22" s="33" t="s">
        <v>117</v>
      </c>
      <c r="C22" s="29" t="s">
        <v>12</v>
      </c>
      <c r="D22" s="17" t="s">
        <v>81</v>
      </c>
      <c r="E22" s="18" t="s">
        <v>102</v>
      </c>
    </row>
    <row r="23" spans="1:5" x14ac:dyDescent="0.25">
      <c r="A23" s="25">
        <v>2028</v>
      </c>
      <c r="B23" s="33" t="s">
        <v>159</v>
      </c>
      <c r="C23" s="29" t="s">
        <v>145</v>
      </c>
      <c r="D23" s="17" t="s">
        <v>144</v>
      </c>
      <c r="E23" s="30" t="s">
        <v>128</v>
      </c>
    </row>
    <row r="24" spans="1:5" x14ac:dyDescent="0.25">
      <c r="A24" s="25">
        <v>2011</v>
      </c>
      <c r="B24" s="33" t="s">
        <v>160</v>
      </c>
      <c r="C24" s="29" t="s">
        <v>145</v>
      </c>
      <c r="D24" s="17" t="s">
        <v>144</v>
      </c>
      <c r="E24" s="31" t="s">
        <v>129</v>
      </c>
    </row>
    <row r="25" spans="1:5" x14ac:dyDescent="0.25">
      <c r="A25" s="25">
        <v>2010</v>
      </c>
      <c r="B25" s="33" t="s">
        <v>161</v>
      </c>
      <c r="C25" s="29" t="s">
        <v>145</v>
      </c>
      <c r="D25" s="17" t="s">
        <v>144</v>
      </c>
      <c r="E25" s="31" t="s">
        <v>130</v>
      </c>
    </row>
    <row r="26" spans="1:5" x14ac:dyDescent="0.25">
      <c r="A26" s="26">
        <v>2052</v>
      </c>
      <c r="B26" s="33" t="s">
        <v>162</v>
      </c>
      <c r="C26" s="29" t="s">
        <v>145</v>
      </c>
      <c r="D26" s="17" t="s">
        <v>144</v>
      </c>
      <c r="E26" s="31" t="s">
        <v>131</v>
      </c>
    </row>
    <row r="27" spans="1:5" x14ac:dyDescent="0.25">
      <c r="A27" s="26">
        <v>2027</v>
      </c>
      <c r="B27" s="33" t="s">
        <v>163</v>
      </c>
      <c r="C27" s="29" t="s">
        <v>145</v>
      </c>
      <c r="D27" s="17" t="s">
        <v>144</v>
      </c>
      <c r="E27" s="31" t="s">
        <v>132</v>
      </c>
    </row>
    <row r="28" spans="1:5" x14ac:dyDescent="0.25">
      <c r="A28" s="26">
        <v>2048</v>
      </c>
      <c r="B28" s="33" t="s">
        <v>104</v>
      </c>
      <c r="C28" s="29" t="s">
        <v>145</v>
      </c>
      <c r="D28" s="17" t="s">
        <v>144</v>
      </c>
      <c r="E28" s="31" t="s">
        <v>133</v>
      </c>
    </row>
    <row r="29" spans="1:5" x14ac:dyDescent="0.25">
      <c r="A29" s="27">
        <v>2012</v>
      </c>
      <c r="B29" s="33" t="s">
        <v>105</v>
      </c>
      <c r="C29" s="29" t="s">
        <v>145</v>
      </c>
      <c r="D29" s="17" t="s">
        <v>144</v>
      </c>
      <c r="E29" s="31" t="s">
        <v>134</v>
      </c>
    </row>
    <row r="30" spans="1:5" x14ac:dyDescent="0.25">
      <c r="A30" s="27">
        <v>2009</v>
      </c>
      <c r="B30" s="33" t="s">
        <v>106</v>
      </c>
      <c r="C30" s="29" t="s">
        <v>145</v>
      </c>
      <c r="D30" s="17" t="s">
        <v>144</v>
      </c>
      <c r="E30" s="31" t="s">
        <v>135</v>
      </c>
    </row>
    <row r="31" spans="1:5" x14ac:dyDescent="0.25">
      <c r="A31" s="27">
        <v>2003</v>
      </c>
      <c r="B31" s="33" t="s">
        <v>107</v>
      </c>
      <c r="C31" s="29" t="s">
        <v>145</v>
      </c>
      <c r="D31" s="17" t="s">
        <v>144</v>
      </c>
      <c r="E31" s="31" t="s">
        <v>136</v>
      </c>
    </row>
    <row r="32" spans="1:5" x14ac:dyDescent="0.25">
      <c r="A32" s="27">
        <v>2036</v>
      </c>
      <c r="B32" s="33" t="s">
        <v>108</v>
      </c>
      <c r="C32" s="29" t="s">
        <v>145</v>
      </c>
      <c r="D32" s="17" t="s">
        <v>144</v>
      </c>
      <c r="E32" s="31" t="s">
        <v>137</v>
      </c>
    </row>
    <row r="33" spans="1:5" x14ac:dyDescent="0.25">
      <c r="A33" s="27">
        <v>2059</v>
      </c>
      <c r="B33" s="33" t="s">
        <v>109</v>
      </c>
      <c r="C33" s="29" t="s">
        <v>145</v>
      </c>
      <c r="D33" s="17" t="s">
        <v>144</v>
      </c>
      <c r="E33" s="31" t="s">
        <v>138</v>
      </c>
    </row>
    <row r="34" spans="1:5" x14ac:dyDescent="0.25">
      <c r="A34" s="27">
        <v>2007</v>
      </c>
      <c r="B34" s="33" t="s">
        <v>110</v>
      </c>
      <c r="C34" s="29" t="s">
        <v>145</v>
      </c>
      <c r="D34" s="17" t="s">
        <v>144</v>
      </c>
      <c r="E34" s="31" t="s">
        <v>139</v>
      </c>
    </row>
    <row r="35" spans="1:5" x14ac:dyDescent="0.25">
      <c r="A35" s="27">
        <v>2013</v>
      </c>
      <c r="B35" s="33" t="s">
        <v>164</v>
      </c>
      <c r="C35" s="29" t="s">
        <v>145</v>
      </c>
      <c r="D35" s="17" t="s">
        <v>144</v>
      </c>
      <c r="E35" s="31" t="s">
        <v>140</v>
      </c>
    </row>
    <row r="36" spans="1:5" x14ac:dyDescent="0.25">
      <c r="A36" s="27">
        <v>2020</v>
      </c>
      <c r="B36" s="33" t="s">
        <v>111</v>
      </c>
      <c r="C36" s="29" t="s">
        <v>145</v>
      </c>
      <c r="D36" s="17" t="s">
        <v>144</v>
      </c>
      <c r="E36" s="31" t="s">
        <v>141</v>
      </c>
    </row>
    <row r="37" spans="1:5" x14ac:dyDescent="0.25">
      <c r="A37" s="26">
        <v>2032</v>
      </c>
      <c r="B37" s="33" t="s">
        <v>165</v>
      </c>
      <c r="C37" s="29" t="s">
        <v>145</v>
      </c>
      <c r="D37" s="17" t="s">
        <v>144</v>
      </c>
      <c r="E37" s="31" t="s">
        <v>142</v>
      </c>
    </row>
    <row r="38" spans="1:5" x14ac:dyDescent="0.25">
      <c r="A38" s="27">
        <v>2044</v>
      </c>
      <c r="B38" s="33" t="s">
        <v>112</v>
      </c>
      <c r="C38" s="29" t="s">
        <v>145</v>
      </c>
      <c r="D38" s="17" t="s">
        <v>144</v>
      </c>
      <c r="E38" s="3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acd3af-7794-401b-98b9-9ce8c3420f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8BC3F6637C1C42978830F9889778B2" ma:contentTypeVersion="17" ma:contentTypeDescription="Create a new document." ma:contentTypeScope="" ma:versionID="d1ac5457b8863a276b804060febe1bff">
  <xsd:schema xmlns:xsd="http://www.w3.org/2001/XMLSchema" xmlns:xs="http://www.w3.org/2001/XMLSchema" xmlns:p="http://schemas.microsoft.com/office/2006/metadata/properties" xmlns:ns3="66acd3af-7794-401b-98b9-9ce8c3420f0f" xmlns:ns4="7db8ff51-e79e-4e92-8966-503b87c271be" targetNamespace="http://schemas.microsoft.com/office/2006/metadata/properties" ma:root="true" ma:fieldsID="96d657f24d353b57fbf9d632fdc468f1" ns3:_="" ns4:_="">
    <xsd:import namespace="66acd3af-7794-401b-98b9-9ce8c3420f0f"/>
    <xsd:import namespace="7db8ff51-e79e-4e92-8966-503b87c271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cd3af-7794-401b-98b9-9ce8c3420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8ff51-e79e-4e92-8966-503b87c271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45E5A9-534E-497C-B82C-940622362B12}">
  <ds:schemaRefs>
    <ds:schemaRef ds:uri="66acd3af-7794-401b-98b9-9ce8c3420f0f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7db8ff51-e79e-4e92-8966-503b87c271b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5ADC6A-A0C3-42C6-B4CF-23F6BB06C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cd3af-7794-401b-98b9-9ce8c3420f0f"/>
    <ds:schemaRef ds:uri="7db8ff51-e79e-4e92-8966-503b87c27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96DB9D-6A01-488E-B6FB-F9DA2EF722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 Audiences</vt:lpstr>
      <vt:lpstr>OOH Sites</vt:lpstr>
      <vt:lpstr>OOH Networks</vt:lpstr>
      <vt:lpstr>AV</vt:lpstr>
      <vt:lpstr>Store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Parks-Taylor</dc:creator>
  <cp:lastModifiedBy>Jamie PT</cp:lastModifiedBy>
  <dcterms:created xsi:type="dcterms:W3CDTF">2026-02-27T13:06:32Z</dcterms:created>
  <dcterms:modified xsi:type="dcterms:W3CDTF">2026-02-28T12:04:14Z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0x010100538BC3F6637C1C42978830F9889778B2</vt:lpwstr>
  </property>
</Properties>
</file>